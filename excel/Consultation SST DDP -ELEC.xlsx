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mam\.gemini\antigravity\scratch\worksite-tracker\excel\"/>
    </mc:Choice>
  </mc:AlternateContent>
  <xr:revisionPtr revIDLastSave="0" documentId="13_ncr:1_{452F4581-2ADA-423E-8607-64945344985D}" xr6:coauthVersionLast="47" xr6:coauthVersionMax="47" xr10:uidLastSave="{00000000-0000-0000-0000-000000000000}"/>
  <bookViews>
    <workbookView xWindow="11505" yWindow="3165" windowWidth="28770" windowHeight="16170" activeTab="1" xr2:uid="{783064F9-5524-406D-803A-E2B1D666DF69}"/>
  </bookViews>
  <sheets>
    <sheet name="Présentation SST" sheetId="1" r:id="rId1"/>
    <sheet name="Bordereau de prix" sheetId="2" r:id="rId2"/>
    <sheet name="Limites d'entrepris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2" l="1"/>
  <c r="G60" i="2"/>
  <c r="E43" i="2" l="1"/>
  <c r="G43" i="2" s="1"/>
  <c r="E40" i="2"/>
  <c r="G40" i="2" s="1"/>
  <c r="E39" i="2"/>
  <c r="G39" i="2" s="1"/>
  <c r="E38" i="2"/>
  <c r="G38" i="2" s="1"/>
  <c r="E8" i="2"/>
  <c r="G8" i="2" s="1"/>
  <c r="E13" i="2"/>
  <c r="G13" i="2" s="1"/>
  <c r="E30" i="2"/>
  <c r="G30" i="2" s="1"/>
  <c r="E25" i="2"/>
  <c r="G25" i="2" s="1"/>
  <c r="E23" i="2"/>
  <c r="G23" i="2" s="1"/>
  <c r="G6" i="2"/>
  <c r="G7" i="2"/>
  <c r="G9" i="2"/>
  <c r="G11" i="2"/>
  <c r="G16" i="2"/>
  <c r="G17" i="2"/>
  <c r="G18" i="2"/>
  <c r="G19" i="2"/>
  <c r="G20" i="2"/>
  <c r="G24" i="2"/>
  <c r="G26" i="2"/>
  <c r="G27" i="2"/>
  <c r="G28" i="2"/>
  <c r="G29" i="2"/>
  <c r="G32" i="2"/>
  <c r="G33" i="2"/>
  <c r="G36" i="2"/>
  <c r="G37" i="2"/>
  <c r="G44" i="2"/>
  <c r="G45" i="2"/>
  <c r="G46" i="2"/>
  <c r="G49" i="2"/>
  <c r="G50" i="2"/>
  <c r="G51" i="2"/>
  <c r="G53" i="2"/>
  <c r="G54" i="2"/>
  <c r="G55" i="2"/>
  <c r="G56" i="2"/>
  <c r="G57" i="2"/>
  <c r="G59" i="2"/>
  <c r="G61" i="2"/>
  <c r="G63" i="2"/>
  <c r="G64" i="2"/>
  <c r="G65" i="2"/>
  <c r="G67" i="2" l="1"/>
</calcChain>
</file>

<file path=xl/sharedStrings.xml><?xml version="1.0" encoding="utf-8"?>
<sst xmlns="http://schemas.openxmlformats.org/spreadsheetml/2006/main" count="223" uniqueCount="129">
  <si>
    <t>Présentation du sous-traitant</t>
  </si>
  <si>
    <t>Données administratives</t>
  </si>
  <si>
    <t>Nom de la société:</t>
  </si>
  <si>
    <t>Site web:</t>
  </si>
  <si>
    <t>Directeur:</t>
  </si>
  <si>
    <t>Langues:</t>
  </si>
  <si>
    <t>Personnes de contact:</t>
  </si>
  <si>
    <t>Numéro de compte:</t>
  </si>
  <si>
    <t>N° Entreprise ( SIREN):</t>
  </si>
  <si>
    <t>N° TVA:</t>
  </si>
  <si>
    <t>Classe (Agréation):</t>
  </si>
  <si>
    <t>Adresse:</t>
  </si>
  <si>
    <t>Taille de l'entreprise:</t>
  </si>
  <si>
    <t>Téléphone:</t>
  </si>
  <si>
    <t>Adresse mail:</t>
  </si>
  <si>
    <t>Matériel disponible (liste à fournir)</t>
  </si>
  <si>
    <t>Equipements de protection individuels ( casque, chaussures de sécu, gilet fluo,..):</t>
  </si>
  <si>
    <t>Outillage ( perceuse, visseuse, tire-fil, pinces,…):</t>
  </si>
  <si>
    <t>Escabelles :</t>
  </si>
  <si>
    <t>Compétences techniques du personnel</t>
  </si>
  <si>
    <t>Oui</t>
  </si>
  <si>
    <t>Non</t>
  </si>
  <si>
    <t>Pose de chemin de câbles:</t>
  </si>
  <si>
    <t>Tirage de câble petite section ( =&lt;5G25mm²):</t>
  </si>
  <si>
    <t>Tirage de câble grande section(&gt;5G25mm²):</t>
  </si>
  <si>
    <t>Pose et raccordement prises/éclairages:</t>
  </si>
  <si>
    <t>Raccordement sécurité(détecteurs, lecteurs badge, caméra..):</t>
  </si>
  <si>
    <t>Raccordement tableaux électriques:</t>
  </si>
  <si>
    <t>Raccordement et tests DATA cuivre:</t>
  </si>
  <si>
    <t>Raccordement et tests DATA fibre:</t>
  </si>
  <si>
    <t>Poste</t>
  </si>
  <si>
    <t>Désignation</t>
  </si>
  <si>
    <t>Unité</t>
  </si>
  <si>
    <t>Cheminement</t>
  </si>
  <si>
    <t>Chemin de câble</t>
  </si>
  <si>
    <t>m</t>
  </si>
  <si>
    <t>Chemin de câble 300x60</t>
  </si>
  <si>
    <t>Chemin de câble 400x60</t>
  </si>
  <si>
    <t>Chemin de câble 600x60</t>
  </si>
  <si>
    <t>Goulotte</t>
  </si>
  <si>
    <t>Goulotte Métallique 50x105</t>
  </si>
  <si>
    <t>Tubage</t>
  </si>
  <si>
    <t>Tube Tth M20 - M32</t>
  </si>
  <si>
    <t xml:space="preserve">Tirage Courant Fort </t>
  </si>
  <si>
    <t>Cable de terre</t>
  </si>
  <si>
    <t>H07Z1-R Vert/Jaune LSOH 6mm²</t>
  </si>
  <si>
    <t>H07Z1-R Vert/Jaune LSOH 16mm²</t>
  </si>
  <si>
    <t>H07Z1-R Vert/Jaune LSOH 25mm²</t>
  </si>
  <si>
    <t>H07Z1-R Vert/Jaune LSOH 70mm²</t>
  </si>
  <si>
    <t>H07Z1-R Vert/Jaune LSOH 240mm²</t>
  </si>
  <si>
    <t>Cable monobrin</t>
  </si>
  <si>
    <t>Cable de puissance multibrins</t>
  </si>
  <si>
    <t>XGB-F2 3G2.5</t>
  </si>
  <si>
    <t>XGB-F2 4G1.5</t>
  </si>
  <si>
    <t>XGB-F2 5G1.5</t>
  </si>
  <si>
    <t>XGB-F2 5G4</t>
  </si>
  <si>
    <t>XGB-F2 5G6</t>
  </si>
  <si>
    <t>XGB-F2 5G25</t>
  </si>
  <si>
    <t>XGB-F2 4x35</t>
  </si>
  <si>
    <t>XGB-F2 4x150</t>
  </si>
  <si>
    <t>Tirage courant faible</t>
  </si>
  <si>
    <t xml:space="preserve">Cable Data </t>
  </si>
  <si>
    <t>Câble de commande (bus, knx.. max 4paires)</t>
  </si>
  <si>
    <t>Equipement</t>
  </si>
  <si>
    <t>Luminaires</t>
  </si>
  <si>
    <t>Type 1 - Eclairage secours encastré</t>
  </si>
  <si>
    <t>pce</t>
  </si>
  <si>
    <t>Type 2 - Eclairage secours apparent</t>
  </si>
  <si>
    <t>Type 3 - Spot encastré</t>
  </si>
  <si>
    <t>Type 4 - Dalle 600x600 encastrée</t>
  </si>
  <si>
    <t>Interrupteur/BP</t>
  </si>
  <si>
    <t>Détecteur de présence</t>
  </si>
  <si>
    <t>Prise simple, ou multiple précâblées</t>
  </si>
  <si>
    <t xml:space="preserve">Prise double </t>
  </si>
  <si>
    <t xml:space="preserve">pce </t>
  </si>
  <si>
    <t xml:space="preserve">Courant Faible </t>
  </si>
  <si>
    <t>4.3.1</t>
  </si>
  <si>
    <t>Détection Incendie</t>
  </si>
  <si>
    <t>Sirène</t>
  </si>
  <si>
    <t>BP</t>
  </si>
  <si>
    <t>4.3.2</t>
  </si>
  <si>
    <t xml:space="preserve">Data </t>
  </si>
  <si>
    <t>Connecteur coté Rack</t>
  </si>
  <si>
    <t>Pose d'une antenne Wifi</t>
  </si>
  <si>
    <t>Tests DATA cuivre</t>
  </si>
  <si>
    <t>Pose caméra</t>
  </si>
  <si>
    <t>Divers</t>
  </si>
  <si>
    <t>pose de renforts dalles 60x60</t>
  </si>
  <si>
    <t>Régies</t>
  </si>
  <si>
    <t>Ouvrier (tirage câble, tubage, CDC, prises..)</t>
  </si>
  <si>
    <t>hr</t>
  </si>
  <si>
    <t>Câbleur ( raccordements tableau)</t>
  </si>
  <si>
    <t>Chef d'équipe</t>
  </si>
  <si>
    <t>scinder équipements blochets apparent, encastré, goulotte/bds</t>
  </si>
  <si>
    <t>Limites d'entreprise</t>
  </si>
  <si>
    <t>Quantité</t>
  </si>
  <si>
    <t>Chemin de câble Rf 400x60</t>
  </si>
  <si>
    <t>4.3.4</t>
  </si>
  <si>
    <t>Détecteur y compris socle</t>
  </si>
  <si>
    <t>Type 6 - Luminaire linéaire apparent</t>
  </si>
  <si>
    <t>Type 5 - Luminaire apparent</t>
  </si>
  <si>
    <t xml:space="preserve">Bordereau de prix
Projet: Chirec - Cavell </t>
  </si>
  <si>
    <t>Horloge</t>
  </si>
  <si>
    <t>Total</t>
  </si>
  <si>
    <t>EEG</t>
  </si>
  <si>
    <t>SST</t>
  </si>
  <si>
    <t>Escabelles, échauffaudages</t>
  </si>
  <si>
    <t>X</t>
  </si>
  <si>
    <t>Outillage portatif ( perceuse, forreuse, disqueuse..)</t>
  </si>
  <si>
    <t>Carroteuse</t>
  </si>
  <si>
    <t>Moyen de levage ( Ascenseur chantier, nacelles, manitou, etc)</t>
  </si>
  <si>
    <t>Manutention horizontale et verticale des livraisons</t>
  </si>
  <si>
    <t>Pose de filins stop chutte  sur tous les appareils plafonniers  (hors détecteurs)</t>
  </si>
  <si>
    <t>Mise à disposition d'extincteur en cas de travaux générant des étincelles</t>
  </si>
  <si>
    <t>Equipements de protection collectifs (garde corps, fillets..)</t>
  </si>
  <si>
    <t>Equipements de protection individuels ( casques, chaussures de sécurité, vêtement fluo, gants, harnais )</t>
  </si>
  <si>
    <t>Repérage des câbles aux extrémités</t>
  </si>
  <si>
    <t>Travaux</t>
  </si>
  <si>
    <t>Marché</t>
  </si>
  <si>
    <t>QP</t>
  </si>
  <si>
    <t>Boite de dérivation (12 connexions)</t>
  </si>
  <si>
    <t>Appareillage  (y compris blochets)</t>
  </si>
  <si>
    <t>Prise data complète ( côté utilisateur, y compris blochet)</t>
  </si>
  <si>
    <t>temps de pose unitaire (min)</t>
  </si>
  <si>
    <t>temps total</t>
  </si>
  <si>
    <t>zones du projet</t>
  </si>
  <si>
    <t>10endo</t>
  </si>
  <si>
    <t>10qop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</si>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</sst>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6" xfId="0" applyBorder="1"/>
    <xf numFmtId="0" fontId="0" fillId="0" borderId="7" xfId="0" applyBorder="1"/>
    <xf numFmtId="0" fontId="5" fillId="0" borderId="6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8" xfId="0" applyBorder="1"/>
    <xf numFmtId="0" fontId="0" fillId="0" borderId="14" xfId="0" applyBorder="1" applyAlignment="1">
      <alignment horizontal="right"/>
    </xf>
    <xf numFmtId="0" fontId="0" fillId="0" borderId="15" xfId="0" applyBorder="1"/>
    <xf numFmtId="0" fontId="7" fillId="0" borderId="14" xfId="0" applyFont="1" applyBorder="1" applyAlignment="1">
      <alignment horizontal="right"/>
    </xf>
    <xf numFmtId="0" fontId="0" fillId="0" borderId="12" xfId="0" applyBorder="1"/>
    <xf numFmtId="0" fontId="6" fillId="5" borderId="13" xfId="0" applyFont="1" applyFill="1" applyBorder="1"/>
    <xf numFmtId="0" fontId="6" fillId="0" borderId="13" xfId="0" applyFont="1" applyBorder="1"/>
    <xf numFmtId="0" fontId="0" fillId="0" borderId="13" xfId="0" applyBorder="1"/>
    <xf numFmtId="0" fontId="7" fillId="0" borderId="13" xfId="0" applyFont="1" applyBorder="1"/>
    <xf numFmtId="0" fontId="0" fillId="0" borderId="0" xfId="0" applyAlignment="1">
      <alignment horizontal="right"/>
    </xf>
    <xf numFmtId="0" fontId="6" fillId="5" borderId="14" xfId="0" applyFont="1" applyFill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6" fillId="5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0" xfId="0" applyBorder="1" applyAlignment="1">
      <alignment horizontal="center"/>
    </xf>
    <xf numFmtId="0" fontId="2" fillId="4" borderId="19" xfId="0" applyFont="1" applyFill="1" applyBorder="1" applyAlignment="1">
      <alignment horizontal="right" vertical="center"/>
    </xf>
    <xf numFmtId="0" fontId="2" fillId="4" borderId="20" xfId="0" applyFont="1" applyFill="1" applyBorder="1" applyAlignment="1">
      <alignment vertical="center"/>
    </xf>
    <xf numFmtId="0" fontId="2" fillId="4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1" xfId="0" applyFont="1" applyBorder="1"/>
    <xf numFmtId="0" fontId="5" fillId="3" borderId="3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5" fillId="3" borderId="5" xfId="0" applyFont="1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5" fillId="3" borderId="6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7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48AB358-9A08-423A-943E-1FADF903C401}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border diagonalUp="0" diagonalDown="0">
        <left style="hair">
          <color auto="1"/>
        </left>
        <right style="hair">
          <color auto="1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5000625</xdr:colOff>
      <xdr:row>0</xdr:row>
      <xdr:rowOff>47626</xdr:rowOff>
    </xdr:from>
    <xdr:to>
      <xdr:col>1</xdr:col>
      <xdr:colOff>5848350</xdr:colOff>
      <xdr:row>0</xdr:row>
      <xdr:rowOff>874024</xdr:rowOff>
    </xdr:to>
    <xdr:pic>
      <xdr:nvPicPr>
        <xdr:cNvPr id="2" name="Afbeelding 1" descr="LOGO EEG GROUP">
          <a:extLst>
            <a:ext uri="{FF2B5EF4-FFF2-40B4-BE49-F238E27FC236}">
              <a16:creationId xmlns:a16="http://schemas.microsoft.com/office/drawing/2014/main" id="{1E9D0EB1-39B5-FCA5-11C1-31A023630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47626"/>
          <a:ext cx="847725" cy="826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130038</xdr:colOff>
      <xdr:row>0</xdr:row>
      <xdr:rowOff>78685</xdr:rowOff>
    </xdr:from>
    <xdr:to>
      <xdr:col>5</xdr:col>
      <xdr:colOff>738567</xdr:colOff>
      <xdr:row>0</xdr:row>
      <xdr:rowOff>704022</xdr:rowOff>
    </xdr:to>
    <xdr:pic>
      <xdr:nvPicPr>
        <xdr:cNvPr id="3" name="Afbeelding 1" descr="LOGO EEG GROUP">
          <a:extLst>
            <a:ext uri="{FF2B5EF4-FFF2-40B4-BE49-F238E27FC236}">
              <a16:creationId xmlns:a16="http://schemas.microsoft.com/office/drawing/2014/main" id="{73692244-848E-8E00-0ECB-BFC4F0C12E69}"/>
            </a:ext>
            <a:ext uri="{147F2762-F138-4A5C-976F-8EAC2B608ADB}">
              <a16:predDERef xmlns:a16="http://schemas.microsoft.com/office/drawing/2014/main" pred="{1E9D0EB1-39B5-FCA5-11C1-31A023630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8863" y="78685"/>
          <a:ext cx="608529" cy="625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38101</xdr:rowOff>
    </xdr:from>
    <xdr:to>
      <xdr:col>6</xdr:col>
      <xdr:colOff>1226241</xdr:colOff>
      <xdr:row>1</xdr:row>
      <xdr:rowOff>653235</xdr:rowOff>
    </xdr:to>
    <xdr:pic>
      <xdr:nvPicPr>
        <xdr:cNvPr id="2" name="Afbeelding 1" descr="LOGO EEG GROUP">
          <a:extLst>
            <a:ext uri="{FF2B5EF4-FFF2-40B4-BE49-F238E27FC236}">
              <a16:creationId xmlns:a16="http://schemas.microsoft.com/office/drawing/2014/main" id="{E582C3B1-858D-42D9-BE99-40D18E636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8101"/>
          <a:ext cx="788091" cy="805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4524375</xdr:colOff>
      <xdr:row>0</xdr:row>
      <xdr:rowOff>85726</xdr:rowOff>
    </xdr:from>
    <xdr:to>
      <xdr:col>2</xdr:col>
      <xdr:colOff>5229225</xdr:colOff>
      <xdr:row>1</xdr:row>
      <xdr:rowOff>700860</xdr:rowOff>
    </xdr:to>
    <xdr:pic>
      <xdr:nvPicPr>
        <xdr:cNvPr id="3" name="Afbeelding 1" descr="LOGO EEG GROUP">
          <a:extLst>
            <a:ext uri="{FF2B5EF4-FFF2-40B4-BE49-F238E27FC236}">
              <a16:creationId xmlns:a16="http://schemas.microsoft.com/office/drawing/2014/main" id="{FA4A0505-138B-4F87-A72B-50B64834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85726"/>
          <a:ext cx="704850" cy="805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9A0F8-DD84-4062-AF10-F1208A536F24}" name="Tableau1" displayName="Tableau1" ref="A3:G65" totalsRowShown="0" headerRowDxfId="8" headerRowBorderDxfId="7" tableBorderDxfId="6">
  <autoFilter ref="A3:G65" xr:uid="{8579A0F8-DD84-4062-AF10-F1208A536F24}"/>
  <tableColumns count="7">
    <tableColumn id="1" xr3:uid="{4B78C277-1D10-4A67-935F-33D9BFC48707}" name="Poste" dataDxfId="5"/>
    <tableColumn id="2" xr3:uid="{BFD13499-1A1C-4819-A633-7DD60F5888F0}" name="Désignation" dataDxfId="4"/>
    <tableColumn id="8" xr3:uid="{781C60C2-92F5-4BE6-AA58-AD386579917A}" name="Marché" dataDxfId="3"/>
    <tableColumn id="3" xr3:uid="{BCE0D9E0-9659-4E6C-8BD9-5C90255B2E91}" name="Unité" dataDxfId="2"/>
    <tableColumn id="4" xr3:uid="{69344B57-0B97-46AB-829B-AB6EFF23AC5D}" name="Quantité" dataDxfId="1"/>
    <tableColumn id="5" xr3:uid="{31012BFA-49DC-4E55-84B0-5A47B799A15D}" name="temps de pose unitaire (min)" dataDxfId="0"/>
    <tableColumn id="6" xr3:uid="{CCBA4B82-D983-48FA-B92A-C66CBEA88078}" name="temps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C3A3-190E-4509-A807-A9861128F0D3}">
  <sheetPr codeName="Feuil1"/>
  <dimension ref="A1:G26"/>
  <sheetViews>
    <sheetView zoomScale="115" zoomScaleNormal="115" workbookViewId="0">
      <selection activeCell="J13" sqref="J13"/>
    </sheetView>
  </sheetViews>
  <sheetFormatPr baseColWidth="10" defaultColWidth="11.42578125" defaultRowHeight="15" x14ac:dyDescent="0.25"/>
  <cols>
    <col min="1" max="1" width="56.140625" bestFit="1" customWidth="1"/>
    <col min="2" max="2" width="4.42578125" customWidth="1"/>
    <col min="3" max="3" width="4.140625" customWidth="1"/>
    <col min="7" max="7" width="5.140625" customWidth="1"/>
  </cols>
  <sheetData>
    <row r="1" spans="1:7" ht="69.75" customHeight="1" thickBot="1" x14ac:dyDescent="0.3">
      <c r="A1" s="47" t="s">
        <v>0</v>
      </c>
      <c r="B1" s="48"/>
      <c r="C1" s="48"/>
      <c r="D1" s="48"/>
      <c r="E1" s="48"/>
      <c r="F1" s="48"/>
      <c r="G1" s="49"/>
    </row>
    <row r="2" spans="1:7" ht="21" customHeight="1" x14ac:dyDescent="0.25">
      <c r="A2" s="36" t="s">
        <v>1</v>
      </c>
      <c r="B2" s="37"/>
      <c r="C2" s="37"/>
      <c r="D2" s="37"/>
      <c r="E2" s="37"/>
      <c r="F2" s="37"/>
      <c r="G2" s="38"/>
    </row>
    <row r="3" spans="1:7" x14ac:dyDescent="0.25">
      <c r="A3" s="1" t="s">
        <v>2</v>
      </c>
      <c r="B3" s="45" t="s">
        <v>3</v>
      </c>
      <c r="C3" s="45"/>
      <c r="D3" s="45"/>
      <c r="E3" s="45"/>
      <c r="F3" s="45"/>
      <c r="G3" s="46"/>
    </row>
    <row r="4" spans="1:7" x14ac:dyDescent="0.25">
      <c r="A4" s="1" t="s">
        <v>4</v>
      </c>
      <c r="B4" s="45" t="s">
        <v>5</v>
      </c>
      <c r="C4" s="45"/>
      <c r="D4" s="45"/>
      <c r="E4" s="45"/>
      <c r="F4" s="45"/>
      <c r="G4" s="46"/>
    </row>
    <row r="5" spans="1:7" x14ac:dyDescent="0.25">
      <c r="A5" s="1" t="s">
        <v>6</v>
      </c>
      <c r="B5" s="45" t="s">
        <v>7</v>
      </c>
      <c r="C5" s="45"/>
      <c r="D5" s="45"/>
      <c r="E5" s="45"/>
      <c r="F5" s="45"/>
      <c r="G5" s="46"/>
    </row>
    <row r="6" spans="1:7" x14ac:dyDescent="0.25">
      <c r="A6" s="1" t="s">
        <v>8</v>
      </c>
      <c r="B6" s="50"/>
      <c r="C6" s="50"/>
      <c r="D6" s="50"/>
      <c r="E6" s="50"/>
      <c r="F6" s="50"/>
      <c r="G6" s="51"/>
    </row>
    <row r="7" spans="1:7" x14ac:dyDescent="0.25">
      <c r="A7" s="1" t="s">
        <v>9</v>
      </c>
      <c r="B7" s="45" t="s">
        <v>10</v>
      </c>
      <c r="C7" s="45"/>
      <c r="D7" s="45"/>
      <c r="E7" s="45"/>
      <c r="F7" s="45"/>
      <c r="G7" s="46"/>
    </row>
    <row r="8" spans="1:7" x14ac:dyDescent="0.25">
      <c r="A8" s="1" t="s">
        <v>11</v>
      </c>
      <c r="B8" s="45" t="s">
        <v>12</v>
      </c>
      <c r="C8" s="45"/>
      <c r="D8" s="45"/>
      <c r="E8" s="45"/>
      <c r="F8" s="45"/>
      <c r="G8" s="46"/>
    </row>
    <row r="9" spans="1:7" ht="15.75" thickBot="1" x14ac:dyDescent="0.3">
      <c r="A9" s="5" t="s">
        <v>13</v>
      </c>
      <c r="B9" s="39" t="s">
        <v>14</v>
      </c>
      <c r="C9" s="39"/>
      <c r="D9" s="39"/>
      <c r="E9" s="39"/>
      <c r="F9" s="39"/>
      <c r="G9" s="40"/>
    </row>
    <row r="10" spans="1:7" ht="15.75" thickBot="1" x14ac:dyDescent="0.3">
      <c r="A10" s="5"/>
      <c r="B10" s="39"/>
      <c r="C10" s="39"/>
      <c r="D10" s="39"/>
      <c r="E10" s="39"/>
      <c r="F10" s="39"/>
      <c r="G10" s="40"/>
    </row>
    <row r="11" spans="1:7" ht="18.75" x14ac:dyDescent="0.25">
      <c r="A11" s="52" t="s">
        <v>15</v>
      </c>
      <c r="B11" s="53"/>
      <c r="C11" s="53"/>
      <c r="D11" s="53"/>
      <c r="E11" s="53"/>
      <c r="F11" s="53"/>
      <c r="G11" s="54"/>
    </row>
    <row r="12" spans="1:7" ht="12" customHeight="1" x14ac:dyDescent="0.25">
      <c r="A12" s="3"/>
      <c r="B12" s="4"/>
      <c r="G12" s="2"/>
    </row>
    <row r="13" spans="1:7" ht="47.25" customHeight="1" x14ac:dyDescent="0.25">
      <c r="A13" s="44" t="s">
        <v>16</v>
      </c>
      <c r="B13" s="45"/>
      <c r="C13" s="45"/>
      <c r="D13" s="45"/>
      <c r="E13" s="45"/>
      <c r="F13" s="45"/>
      <c r="G13" s="46"/>
    </row>
    <row r="14" spans="1:7" ht="30.75" customHeight="1" x14ac:dyDescent="0.25">
      <c r="A14" s="44" t="s">
        <v>17</v>
      </c>
      <c r="B14" s="45"/>
      <c r="C14" s="45"/>
      <c r="D14" s="45"/>
      <c r="E14" s="45"/>
      <c r="F14" s="45"/>
      <c r="G14" s="46"/>
    </row>
    <row r="15" spans="1:7" ht="28.5" customHeight="1" thickBot="1" x14ac:dyDescent="0.3">
      <c r="A15" s="44" t="s">
        <v>18</v>
      </c>
      <c r="B15" s="45"/>
      <c r="C15" s="45"/>
      <c r="D15" s="45"/>
      <c r="E15" s="45"/>
      <c r="F15" s="45"/>
      <c r="G15" s="46"/>
    </row>
    <row r="16" spans="1:7" ht="15.75" thickBot="1" x14ac:dyDescent="0.3">
      <c r="A16" s="41"/>
      <c r="B16" s="42"/>
      <c r="C16" s="42"/>
      <c r="D16" s="42"/>
      <c r="E16" s="42"/>
      <c r="F16" s="42"/>
      <c r="G16" s="43"/>
    </row>
    <row r="17" spans="1:7" ht="18.75" x14ac:dyDescent="0.25">
      <c r="A17" s="36" t="s">
        <v>19</v>
      </c>
      <c r="B17" s="37"/>
      <c r="C17" s="37"/>
      <c r="D17" s="37"/>
      <c r="E17" s="37"/>
      <c r="F17" s="37"/>
      <c r="G17" s="38"/>
    </row>
    <row r="18" spans="1:7" ht="15" customHeight="1" x14ac:dyDescent="0.25">
      <c r="A18" s="3"/>
      <c r="B18" s="9" t="s">
        <v>20</v>
      </c>
      <c r="C18" s="9" t="s">
        <v>21</v>
      </c>
      <c r="G18" s="2"/>
    </row>
    <row r="19" spans="1:7" x14ac:dyDescent="0.25">
      <c r="A19" s="22" t="s">
        <v>22</v>
      </c>
      <c r="B19" s="28"/>
      <c r="C19" s="28"/>
      <c r="D19" s="23"/>
      <c r="E19" s="23"/>
      <c r="F19" s="23"/>
      <c r="G19" s="24"/>
    </row>
    <row r="20" spans="1:7" x14ac:dyDescent="0.25">
      <c r="A20" s="22" t="s">
        <v>23</v>
      </c>
      <c r="B20" s="28"/>
      <c r="C20" s="28"/>
      <c r="D20" s="23"/>
      <c r="E20" s="23"/>
      <c r="F20" s="23"/>
      <c r="G20" s="24"/>
    </row>
    <row r="21" spans="1:7" x14ac:dyDescent="0.25">
      <c r="A21" s="22" t="s">
        <v>24</v>
      </c>
      <c r="B21" s="28"/>
      <c r="C21" s="28"/>
      <c r="D21" s="23"/>
      <c r="E21" s="23"/>
      <c r="F21" s="23"/>
      <c r="G21" s="24"/>
    </row>
    <row r="22" spans="1:7" x14ac:dyDescent="0.25">
      <c r="A22" s="22" t="s">
        <v>25</v>
      </c>
      <c r="B22" s="28"/>
      <c r="C22" s="28"/>
      <c r="D22" s="23"/>
      <c r="E22" s="23"/>
      <c r="F22" s="23"/>
      <c r="G22" s="24"/>
    </row>
    <row r="23" spans="1:7" x14ac:dyDescent="0.25">
      <c r="A23" s="22" t="s">
        <v>26</v>
      </c>
      <c r="B23" s="28"/>
      <c r="C23" s="28"/>
      <c r="D23" s="23"/>
      <c r="E23" s="23"/>
      <c r="F23" s="23"/>
      <c r="G23" s="24"/>
    </row>
    <row r="24" spans="1:7" x14ac:dyDescent="0.25">
      <c r="A24" s="22" t="s">
        <v>27</v>
      </c>
      <c r="B24" s="28"/>
      <c r="C24" s="28"/>
      <c r="D24" s="23"/>
      <c r="E24" s="23"/>
      <c r="F24" s="23"/>
      <c r="G24" s="24"/>
    </row>
    <row r="25" spans="1:7" x14ac:dyDescent="0.25">
      <c r="A25" s="22" t="s">
        <v>28</v>
      </c>
      <c r="B25" s="28"/>
      <c r="C25" s="28"/>
      <c r="D25" s="23"/>
      <c r="E25" s="23"/>
      <c r="F25" s="23"/>
      <c r="G25" s="24"/>
    </row>
    <row r="26" spans="1:7" ht="15.75" thickBot="1" x14ac:dyDescent="0.3">
      <c r="A26" s="25" t="s">
        <v>29</v>
      </c>
      <c r="B26" s="29"/>
      <c r="C26" s="29"/>
      <c r="D26" s="26"/>
      <c r="E26" s="26"/>
      <c r="F26" s="26"/>
      <c r="G26" s="27"/>
    </row>
  </sheetData>
  <mergeCells count="16">
    <mergeCell ref="A1:G1"/>
    <mergeCell ref="A13:G13"/>
    <mergeCell ref="A14:G14"/>
    <mergeCell ref="B3:G3"/>
    <mergeCell ref="B4:G4"/>
    <mergeCell ref="B5:G5"/>
    <mergeCell ref="B6:G6"/>
    <mergeCell ref="A2:G2"/>
    <mergeCell ref="A11:G11"/>
    <mergeCell ref="A17:G17"/>
    <mergeCell ref="B9:G9"/>
    <mergeCell ref="A16:G16"/>
    <mergeCell ref="A15:G15"/>
    <mergeCell ref="B7:G7"/>
    <mergeCell ref="B8:G8"/>
    <mergeCell ref="B10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D6E0-79AF-4F35-8128-36FF12915E89}">
  <sheetPr codeName="Feuil2"/>
  <dimension ref="A1:I75"/>
  <sheetViews>
    <sheetView tabSelected="1" workbookViewId="0">
      <selection activeCell="F65" sqref="F65"/>
    </sheetView>
  </sheetViews>
  <sheetFormatPr baseColWidth="10" defaultColWidth="11.42578125" defaultRowHeight="15" x14ac:dyDescent="0.25"/>
  <cols>
    <col min="1" max="1" width="17" style="14" bestFit="1" customWidth="1"/>
    <col min="2" max="2" width="56.7109375" bestFit="1" customWidth="1"/>
    <col min="3" max="3" width="10" bestFit="1" customWidth="1"/>
    <col min="4" max="4" width="8.140625" style="21" customWidth="1"/>
    <col min="5" max="5" width="11" style="21" customWidth="1"/>
    <col min="6" max="6" width="31.7109375" style="21" bestFit="1" customWidth="1"/>
    <col min="7" max="7" width="19.7109375" customWidth="1"/>
  </cols>
  <sheetData>
    <row r="1" spans="1:9" ht="15" customHeight="1" x14ac:dyDescent="0.25">
      <c r="A1" s="55" t="s">
        <v>101</v>
      </c>
      <c r="B1" s="48"/>
      <c r="C1" s="48"/>
      <c r="D1" s="48"/>
      <c r="E1" s="48"/>
      <c r="F1" s="48"/>
      <c r="G1" s="48"/>
    </row>
    <row r="2" spans="1:9" ht="56.25" customHeight="1" x14ac:dyDescent="0.25">
      <c r="A2" s="56"/>
      <c r="B2" s="57"/>
      <c r="C2" s="57"/>
      <c r="D2" s="57"/>
      <c r="E2" s="57"/>
      <c r="F2" s="57"/>
      <c r="G2" s="57"/>
    </row>
    <row r="3" spans="1:9" x14ac:dyDescent="0.25">
      <c r="A3" s="31" t="s">
        <v>30</v>
      </c>
      <c r="B3" s="32" t="s">
        <v>31</v>
      </c>
      <c r="C3" s="32" t="s">
        <v>118</v>
      </c>
      <c r="D3" s="33" t="s">
        <v>32</v>
      </c>
      <c r="E3" s="33" t="s">
        <v>95</v>
      </c>
      <c r="F3" s="33" t="s">
        <v>123</v>
      </c>
      <c r="G3" s="33" t="s">
        <v>124</v>
      </c>
      <c r="I3" t="s">
        <v>125</v>
      </c>
    </row>
    <row r="4" spans="1:9" x14ac:dyDescent="0.25">
      <c r="A4" s="15">
        <v>1</v>
      </c>
      <c r="B4" s="10" t="s">
        <v>33</v>
      </c>
      <c r="C4" s="10"/>
      <c r="D4" s="17"/>
      <c r="E4" s="17"/>
      <c r="F4" s="17"/>
      <c r="G4" s="10"/>
      <c r="I4" t="s">
        <v>128</v>
      </c>
    </row>
    <row r="5" spans="1:9" x14ac:dyDescent="0.25">
      <c r="A5" s="16">
        <v>1.1000000000000001</v>
      </c>
      <c r="B5" s="11" t="s">
        <v>34</v>
      </c>
      <c r="C5" s="11"/>
      <c r="D5" s="18"/>
      <c r="E5" s="18"/>
      <c r="F5" s="18"/>
      <c r="G5" s="11"/>
      <c r="I5">
        <v>0</v>
      </c>
    </row>
    <row r="6" spans="1:9" x14ac:dyDescent="0.25">
      <c r="A6" s="6"/>
      <c r="B6" s="12" t="s">
        <v>36</v>
      </c>
      <c r="C6" s="12" t="s">
        <v>119</v>
      </c>
      <c r="D6" s="19" t="s">
        <v>35</v>
      </c>
      <c r="E6" s="19">
        <v>212</v>
      </c>
      <c r="F6" s="19">
        <v>20</v>
      </c>
      <c r="G6" s="11">
        <f t="shared" ref="G6:G32" si="0">+F6*E6</f>
        <v>4240</v>
      </c>
      <c r="I6" t="s">
        <v>126</v>
      </c>
    </row>
    <row r="7" spans="1:9" x14ac:dyDescent="0.25">
      <c r="A7" s="6"/>
      <c r="B7" s="12" t="s">
        <v>37</v>
      </c>
      <c r="C7" s="12" t="s">
        <v>119</v>
      </c>
      <c r="D7" s="19" t="s">
        <v>35</v>
      </c>
      <c r="E7" s="19">
        <v>83</v>
      </c>
      <c r="F7" s="19">
        <v>20</v>
      </c>
      <c r="G7" s="11">
        <f t="shared" si="0"/>
        <v>1660</v>
      </c>
      <c r="I7" t="s">
        <v>127</v>
      </c>
    </row>
    <row r="8" spans="1:9" x14ac:dyDescent="0.25">
      <c r="A8" s="6"/>
      <c r="B8" s="12" t="s">
        <v>96</v>
      </c>
      <c r="C8" s="12" t="s">
        <v>119</v>
      </c>
      <c r="D8" s="20" t="s">
        <v>35</v>
      </c>
      <c r="E8" s="19">
        <f>14+6+366</f>
        <v>386</v>
      </c>
      <c r="F8" s="19">
        <v>30</v>
      </c>
      <c r="G8" s="11">
        <f t="shared" si="0"/>
        <v>11580</v>
      </c>
      <c r="I8">
        <v>20</v>
      </c>
    </row>
    <row r="9" spans="1:9" x14ac:dyDescent="0.25">
      <c r="A9" s="6"/>
      <c r="B9" s="12" t="s">
        <v>38</v>
      </c>
      <c r="C9" s="12" t="s">
        <v>119</v>
      </c>
      <c r="D9" s="19" t="s">
        <v>35</v>
      </c>
      <c r="E9" s="19">
        <v>62</v>
      </c>
      <c r="F9" s="19">
        <v>30</v>
      </c>
      <c r="G9" s="11">
        <f t="shared" si="0"/>
        <v>1860</v>
      </c>
      <c r="I9">
        <v>30</v>
      </c>
    </row>
    <row r="10" spans="1:9" x14ac:dyDescent="0.25">
      <c r="A10" s="16">
        <v>1.2</v>
      </c>
      <c r="B10" s="11" t="s">
        <v>39</v>
      </c>
      <c r="C10" s="11"/>
      <c r="D10" s="18"/>
      <c r="E10" s="18"/>
      <c r="F10" s="18"/>
      <c r="G10" s="11"/>
      <c r="I10">
        <v>40</v>
      </c>
    </row>
    <row r="11" spans="1:9" x14ac:dyDescent="0.25">
      <c r="A11" s="6"/>
      <c r="B11" s="12" t="s">
        <v>40</v>
      </c>
      <c r="C11" s="12" t="s">
        <v>119</v>
      </c>
      <c r="D11" s="19" t="s">
        <v>35</v>
      </c>
      <c r="E11" s="19">
        <v>438</v>
      </c>
      <c r="F11" s="19">
        <v>10</v>
      </c>
      <c r="G11" s="11">
        <f t="shared" si="0"/>
        <v>4380</v>
      </c>
      <c r="I11">
        <v>50</v>
      </c>
    </row>
    <row r="12" spans="1:9" x14ac:dyDescent="0.25">
      <c r="A12" s="16">
        <v>1.2</v>
      </c>
      <c r="B12" s="11" t="s">
        <v>41</v>
      </c>
      <c r="C12" s="11"/>
      <c r="D12" s="18"/>
      <c r="E12" s="18"/>
      <c r="F12" s="18"/>
      <c r="G12" s="11"/>
    </row>
    <row r="13" spans="1:9" x14ac:dyDescent="0.25">
      <c r="A13" s="6"/>
      <c r="B13" s="12" t="s">
        <v>42</v>
      </c>
      <c r="C13" s="12" t="s">
        <v>119</v>
      </c>
      <c r="D13" s="19" t="s">
        <v>35</v>
      </c>
      <c r="E13" s="19">
        <f>9146+78</f>
        <v>9224</v>
      </c>
      <c r="F13" s="19">
        <v>8</v>
      </c>
      <c r="G13" s="11">
        <f t="shared" si="0"/>
        <v>73792</v>
      </c>
    </row>
    <row r="14" spans="1:9" x14ac:dyDescent="0.25">
      <c r="A14" s="15">
        <v>2</v>
      </c>
      <c r="B14" s="10" t="s">
        <v>43</v>
      </c>
      <c r="C14" s="10"/>
      <c r="D14" s="17"/>
      <c r="E14" s="17"/>
      <c r="F14" s="17"/>
      <c r="G14" s="17"/>
    </row>
    <row r="15" spans="1:9" x14ac:dyDescent="0.25">
      <c r="A15" s="16">
        <v>2.1</v>
      </c>
      <c r="B15" s="11" t="s">
        <v>44</v>
      </c>
      <c r="C15" s="11"/>
      <c r="D15" s="18"/>
      <c r="E15" s="18"/>
      <c r="F15" s="18"/>
      <c r="G15" s="11"/>
    </row>
    <row r="16" spans="1:9" x14ac:dyDescent="0.25">
      <c r="A16" s="6"/>
      <c r="B16" s="12" t="s">
        <v>45</v>
      </c>
      <c r="C16" s="12" t="s">
        <v>119</v>
      </c>
      <c r="D16" s="19" t="s">
        <v>35</v>
      </c>
      <c r="E16" s="19">
        <v>2465</v>
      </c>
      <c r="F16" s="19">
        <v>3</v>
      </c>
      <c r="G16" s="11">
        <f t="shared" si="0"/>
        <v>7395</v>
      </c>
    </row>
    <row r="17" spans="1:7" x14ac:dyDescent="0.25">
      <c r="A17" s="6"/>
      <c r="B17" s="12" t="s">
        <v>46</v>
      </c>
      <c r="C17" s="12" t="s">
        <v>119</v>
      </c>
      <c r="D17" s="19" t="s">
        <v>35</v>
      </c>
      <c r="E17" s="19">
        <v>985</v>
      </c>
      <c r="F17" s="19">
        <v>4</v>
      </c>
      <c r="G17" s="11">
        <f t="shared" si="0"/>
        <v>3940</v>
      </c>
    </row>
    <row r="18" spans="1:7" x14ac:dyDescent="0.25">
      <c r="A18" s="6"/>
      <c r="B18" s="12" t="s">
        <v>47</v>
      </c>
      <c r="C18" s="12" t="s">
        <v>119</v>
      </c>
      <c r="D18" s="19" t="s">
        <v>35</v>
      </c>
      <c r="E18" s="19">
        <v>333</v>
      </c>
      <c r="F18" s="19">
        <v>5</v>
      </c>
      <c r="G18" s="11">
        <f t="shared" si="0"/>
        <v>1665</v>
      </c>
    </row>
    <row r="19" spans="1:7" x14ac:dyDescent="0.25">
      <c r="A19" s="6"/>
      <c r="B19" s="12" t="s">
        <v>48</v>
      </c>
      <c r="C19" s="12" t="s">
        <v>119</v>
      </c>
      <c r="D19" s="19" t="s">
        <v>35</v>
      </c>
      <c r="E19" s="19">
        <v>64</v>
      </c>
      <c r="F19" s="19">
        <v>7</v>
      </c>
      <c r="G19" s="11">
        <f t="shared" si="0"/>
        <v>448</v>
      </c>
    </row>
    <row r="20" spans="1:7" x14ac:dyDescent="0.25">
      <c r="A20" s="6"/>
      <c r="B20" s="12" t="s">
        <v>49</v>
      </c>
      <c r="C20" s="12" t="s">
        <v>119</v>
      </c>
      <c r="D20" s="19" t="s">
        <v>35</v>
      </c>
      <c r="E20" s="19">
        <v>52</v>
      </c>
      <c r="F20" s="19">
        <v>12</v>
      </c>
      <c r="G20" s="11">
        <f t="shared" si="0"/>
        <v>624</v>
      </c>
    </row>
    <row r="21" spans="1:7" x14ac:dyDescent="0.25">
      <c r="A21" s="16">
        <v>2.2000000000000002</v>
      </c>
      <c r="B21" s="11" t="s">
        <v>50</v>
      </c>
      <c r="C21" s="11"/>
      <c r="D21" s="18"/>
      <c r="E21" s="18"/>
      <c r="F21" s="18"/>
      <c r="G21" s="11"/>
    </row>
    <row r="22" spans="1:7" ht="13.5" customHeight="1" x14ac:dyDescent="0.25">
      <c r="A22" s="16">
        <v>2.2999999999999998</v>
      </c>
      <c r="B22" s="11" t="s">
        <v>51</v>
      </c>
      <c r="C22" s="11"/>
      <c r="D22" s="18"/>
      <c r="E22" s="18"/>
      <c r="F22" s="18"/>
      <c r="G22" s="11"/>
    </row>
    <row r="23" spans="1:7" x14ac:dyDescent="0.25">
      <c r="A23" s="6"/>
      <c r="B23" s="12" t="s">
        <v>52</v>
      </c>
      <c r="C23" s="12" t="s">
        <v>119</v>
      </c>
      <c r="D23" s="19" t="s">
        <v>35</v>
      </c>
      <c r="E23" s="19">
        <f>10832+1622</f>
        <v>12454</v>
      </c>
      <c r="F23" s="19">
        <v>2</v>
      </c>
      <c r="G23" s="11">
        <f t="shared" si="0"/>
        <v>24908</v>
      </c>
    </row>
    <row r="24" spans="1:7" x14ac:dyDescent="0.25">
      <c r="A24" s="6"/>
      <c r="B24" s="12" t="s">
        <v>53</v>
      </c>
      <c r="C24" s="12" t="s">
        <v>119</v>
      </c>
      <c r="D24" s="19" t="s">
        <v>35</v>
      </c>
      <c r="E24" s="19">
        <v>625</v>
      </c>
      <c r="F24" s="19">
        <v>2</v>
      </c>
      <c r="G24" s="11">
        <f t="shared" si="0"/>
        <v>1250</v>
      </c>
    </row>
    <row r="25" spans="1:7" x14ac:dyDescent="0.25">
      <c r="A25" s="6"/>
      <c r="B25" s="12" t="s">
        <v>54</v>
      </c>
      <c r="C25" s="12" t="s">
        <v>119</v>
      </c>
      <c r="D25" s="19" t="s">
        <v>35</v>
      </c>
      <c r="E25" s="19">
        <f>669+2757</f>
        <v>3426</v>
      </c>
      <c r="F25" s="19">
        <v>2</v>
      </c>
      <c r="G25" s="11">
        <f t="shared" si="0"/>
        <v>6852</v>
      </c>
    </row>
    <row r="26" spans="1:7" x14ac:dyDescent="0.25">
      <c r="A26" s="6"/>
      <c r="B26" s="12" t="s">
        <v>55</v>
      </c>
      <c r="C26" s="12" t="s">
        <v>119</v>
      </c>
      <c r="D26" s="19" t="s">
        <v>35</v>
      </c>
      <c r="E26" s="19">
        <v>72</v>
      </c>
      <c r="F26" s="19">
        <v>3</v>
      </c>
      <c r="G26" s="11">
        <f t="shared" si="0"/>
        <v>216</v>
      </c>
    </row>
    <row r="27" spans="1:7" x14ac:dyDescent="0.25">
      <c r="A27" s="6"/>
      <c r="B27" s="12" t="s">
        <v>56</v>
      </c>
      <c r="C27" s="12" t="s">
        <v>119</v>
      </c>
      <c r="D27" s="19" t="s">
        <v>35</v>
      </c>
      <c r="E27" s="19">
        <v>80</v>
      </c>
      <c r="F27" s="19">
        <v>3</v>
      </c>
      <c r="G27" s="11">
        <f t="shared" si="0"/>
        <v>240</v>
      </c>
    </row>
    <row r="28" spans="1:7" x14ac:dyDescent="0.25">
      <c r="A28" s="6"/>
      <c r="B28" s="12" t="s">
        <v>57</v>
      </c>
      <c r="C28" s="12" t="s">
        <v>119</v>
      </c>
      <c r="D28" s="19" t="s">
        <v>35</v>
      </c>
      <c r="E28" s="19">
        <v>443</v>
      </c>
      <c r="F28" s="19">
        <v>8</v>
      </c>
      <c r="G28" s="11">
        <f t="shared" si="0"/>
        <v>3544</v>
      </c>
    </row>
    <row r="29" spans="1:7" x14ac:dyDescent="0.25">
      <c r="A29" s="6"/>
      <c r="B29" s="12" t="s">
        <v>58</v>
      </c>
      <c r="C29" s="12" t="s">
        <v>119</v>
      </c>
      <c r="D29" s="19" t="s">
        <v>35</v>
      </c>
      <c r="E29" s="19">
        <v>265</v>
      </c>
      <c r="F29" s="19">
        <v>8</v>
      </c>
      <c r="G29" s="11">
        <f t="shared" si="0"/>
        <v>2120</v>
      </c>
    </row>
    <row r="30" spans="1:7" x14ac:dyDescent="0.25">
      <c r="A30" s="6"/>
      <c r="B30" s="12" t="s">
        <v>59</v>
      </c>
      <c r="C30" s="12" t="s">
        <v>119</v>
      </c>
      <c r="D30" s="19" t="s">
        <v>35</v>
      </c>
      <c r="E30" s="19">
        <f>64+68</f>
        <v>132</v>
      </c>
      <c r="F30" s="19">
        <v>14</v>
      </c>
      <c r="G30" s="11">
        <f t="shared" si="0"/>
        <v>1848</v>
      </c>
    </row>
    <row r="31" spans="1:7" x14ac:dyDescent="0.25">
      <c r="A31" s="15">
        <v>3</v>
      </c>
      <c r="B31" s="10" t="s">
        <v>60</v>
      </c>
      <c r="C31" s="10"/>
      <c r="D31" s="17"/>
      <c r="E31" s="17"/>
      <c r="F31" s="17"/>
      <c r="G31" s="17"/>
    </row>
    <row r="32" spans="1:7" x14ac:dyDescent="0.25">
      <c r="A32" s="6"/>
      <c r="B32" s="12" t="s">
        <v>61</v>
      </c>
      <c r="C32" s="12" t="s">
        <v>119</v>
      </c>
      <c r="D32" s="19" t="s">
        <v>35</v>
      </c>
      <c r="E32" s="19">
        <v>23568</v>
      </c>
      <c r="F32" s="19">
        <v>2</v>
      </c>
      <c r="G32" s="11">
        <f t="shared" si="0"/>
        <v>47136</v>
      </c>
    </row>
    <row r="33" spans="1:7" x14ac:dyDescent="0.25">
      <c r="A33" s="6"/>
      <c r="B33" s="12" t="s">
        <v>62</v>
      </c>
      <c r="C33" s="12" t="s">
        <v>119</v>
      </c>
      <c r="D33" s="19" t="s">
        <v>35</v>
      </c>
      <c r="E33" s="19">
        <v>5807</v>
      </c>
      <c r="F33" s="19">
        <v>2</v>
      </c>
      <c r="G33" s="11">
        <f t="shared" ref="G33:G65" si="1">+F33*E33</f>
        <v>11614</v>
      </c>
    </row>
    <row r="34" spans="1:7" x14ac:dyDescent="0.25">
      <c r="A34" s="15">
        <v>4</v>
      </c>
      <c r="B34" s="10" t="s">
        <v>63</v>
      </c>
      <c r="C34" s="10"/>
      <c r="D34" s="17"/>
      <c r="E34" s="17"/>
      <c r="F34" s="17"/>
      <c r="G34" s="17"/>
    </row>
    <row r="35" spans="1:7" x14ac:dyDescent="0.25">
      <c r="A35" s="16">
        <v>4.0999999999999996</v>
      </c>
      <c r="B35" s="11" t="s">
        <v>64</v>
      </c>
      <c r="C35" s="11"/>
      <c r="D35" s="18"/>
      <c r="E35" s="18"/>
      <c r="F35" s="18"/>
      <c r="G35" s="11"/>
    </row>
    <row r="36" spans="1:7" x14ac:dyDescent="0.25">
      <c r="A36" s="6"/>
      <c r="B36" s="12" t="s">
        <v>65</v>
      </c>
      <c r="C36" s="12" t="s">
        <v>119</v>
      </c>
      <c r="D36" s="19" t="s">
        <v>66</v>
      </c>
      <c r="E36" s="19">
        <v>76</v>
      </c>
      <c r="F36" s="19">
        <v>20</v>
      </c>
      <c r="G36" s="11">
        <f t="shared" si="1"/>
        <v>1520</v>
      </c>
    </row>
    <row r="37" spans="1:7" x14ac:dyDescent="0.25">
      <c r="A37" s="6"/>
      <c r="B37" s="12" t="s">
        <v>67</v>
      </c>
      <c r="C37" s="12" t="s">
        <v>119</v>
      </c>
      <c r="D37" s="19" t="s">
        <v>66</v>
      </c>
      <c r="E37" s="19">
        <v>57</v>
      </c>
      <c r="F37" s="19">
        <v>20</v>
      </c>
      <c r="G37" s="11">
        <f t="shared" si="1"/>
        <v>1140</v>
      </c>
    </row>
    <row r="38" spans="1:7" x14ac:dyDescent="0.25">
      <c r="A38" s="6"/>
      <c r="B38" s="12" t="s">
        <v>68</v>
      </c>
      <c r="C38" s="12" t="s">
        <v>119</v>
      </c>
      <c r="D38" s="19" t="s">
        <v>66</v>
      </c>
      <c r="E38" s="19">
        <f>12+30+64+24</f>
        <v>130</v>
      </c>
      <c r="F38" s="19">
        <v>20</v>
      </c>
      <c r="G38" s="11">
        <f t="shared" si="1"/>
        <v>2600</v>
      </c>
    </row>
    <row r="39" spans="1:7" x14ac:dyDescent="0.25">
      <c r="A39" s="6"/>
      <c r="B39" s="12" t="s">
        <v>69</v>
      </c>
      <c r="C39" s="12" t="s">
        <v>119</v>
      </c>
      <c r="D39" s="19" t="s">
        <v>66</v>
      </c>
      <c r="E39" s="19">
        <f>157+70+38</f>
        <v>265</v>
      </c>
      <c r="F39" s="19">
        <v>20</v>
      </c>
      <c r="G39" s="11">
        <f t="shared" si="1"/>
        <v>5300</v>
      </c>
    </row>
    <row r="40" spans="1:7" x14ac:dyDescent="0.25">
      <c r="A40" s="6"/>
      <c r="B40" s="12" t="s">
        <v>100</v>
      </c>
      <c r="C40" s="12" t="s">
        <v>119</v>
      </c>
      <c r="D40" s="19" t="s">
        <v>66</v>
      </c>
      <c r="E40" s="19">
        <f>17+53+9</f>
        <v>79</v>
      </c>
      <c r="F40" s="19">
        <v>30</v>
      </c>
      <c r="G40" s="11">
        <f t="shared" si="1"/>
        <v>2370</v>
      </c>
    </row>
    <row r="41" spans="1:7" x14ac:dyDescent="0.25">
      <c r="A41" s="6"/>
      <c r="B41" s="7" t="s">
        <v>99</v>
      </c>
      <c r="C41" s="12" t="s">
        <v>119</v>
      </c>
      <c r="D41" s="20" t="s">
        <v>35</v>
      </c>
      <c r="E41" s="19">
        <v>240</v>
      </c>
      <c r="F41" s="19">
        <v>10</v>
      </c>
      <c r="G41" s="11">
        <f t="shared" si="1"/>
        <v>2400</v>
      </c>
    </row>
    <row r="42" spans="1:7" x14ac:dyDescent="0.25">
      <c r="A42" s="16">
        <v>4.2</v>
      </c>
      <c r="B42" s="11" t="s">
        <v>121</v>
      </c>
      <c r="C42" s="11"/>
      <c r="D42" s="18"/>
      <c r="E42" s="18"/>
      <c r="F42" s="18"/>
      <c r="G42" s="11"/>
    </row>
    <row r="43" spans="1:7" x14ac:dyDescent="0.25">
      <c r="A43" s="6"/>
      <c r="B43" s="12" t="s">
        <v>70</v>
      </c>
      <c r="C43" s="12" t="s">
        <v>119</v>
      </c>
      <c r="D43" s="19" t="s">
        <v>66</v>
      </c>
      <c r="E43" s="19">
        <f>138+76</f>
        <v>214</v>
      </c>
      <c r="F43" s="19">
        <v>20</v>
      </c>
      <c r="G43" s="11">
        <f t="shared" si="1"/>
        <v>4280</v>
      </c>
    </row>
    <row r="44" spans="1:7" x14ac:dyDescent="0.25">
      <c r="A44" s="6"/>
      <c r="B44" s="12" t="s">
        <v>71</v>
      </c>
      <c r="C44" s="12" t="s">
        <v>119</v>
      </c>
      <c r="D44" s="19" t="s">
        <v>66</v>
      </c>
      <c r="E44" s="19">
        <v>75</v>
      </c>
      <c r="F44" s="19">
        <v>10</v>
      </c>
      <c r="G44" s="11">
        <f t="shared" si="1"/>
        <v>750</v>
      </c>
    </row>
    <row r="45" spans="1:7" x14ac:dyDescent="0.25">
      <c r="A45" s="6"/>
      <c r="B45" s="12" t="s">
        <v>72</v>
      </c>
      <c r="C45" s="12" t="s">
        <v>119</v>
      </c>
      <c r="D45" s="19" t="s">
        <v>66</v>
      </c>
      <c r="E45" s="19">
        <v>192</v>
      </c>
      <c r="F45" s="19">
        <v>20</v>
      </c>
      <c r="G45" s="11">
        <f t="shared" si="1"/>
        <v>3840</v>
      </c>
    </row>
    <row r="46" spans="1:7" x14ac:dyDescent="0.25">
      <c r="A46" s="6"/>
      <c r="B46" s="12" t="s">
        <v>73</v>
      </c>
      <c r="C46" s="12" t="s">
        <v>119</v>
      </c>
      <c r="D46" s="19" t="s">
        <v>66</v>
      </c>
      <c r="E46" s="19">
        <v>162</v>
      </c>
      <c r="F46" s="19">
        <v>25</v>
      </c>
      <c r="G46" s="11">
        <f t="shared" si="1"/>
        <v>4050</v>
      </c>
    </row>
    <row r="47" spans="1:7" x14ac:dyDescent="0.25">
      <c r="A47" s="16">
        <v>4.3</v>
      </c>
      <c r="B47" s="11" t="s">
        <v>75</v>
      </c>
      <c r="C47" s="11"/>
      <c r="D47" s="18"/>
      <c r="E47" s="18"/>
      <c r="F47" s="18"/>
      <c r="G47" s="11"/>
    </row>
    <row r="48" spans="1:7" x14ac:dyDescent="0.25">
      <c r="A48" s="8" t="s">
        <v>76</v>
      </c>
      <c r="B48" s="13" t="s">
        <v>77</v>
      </c>
      <c r="C48" s="13"/>
      <c r="D48" s="19"/>
      <c r="E48" s="19"/>
      <c r="F48" s="19"/>
      <c r="G48" s="11"/>
    </row>
    <row r="49" spans="1:7" x14ac:dyDescent="0.25">
      <c r="A49" s="6"/>
      <c r="B49" s="12" t="s">
        <v>98</v>
      </c>
      <c r="C49" s="12" t="s">
        <v>119</v>
      </c>
      <c r="D49" s="19" t="s">
        <v>66</v>
      </c>
      <c r="E49" s="19">
        <v>231</v>
      </c>
      <c r="F49" s="19">
        <v>10</v>
      </c>
      <c r="G49" s="11">
        <f t="shared" si="1"/>
        <v>2310</v>
      </c>
    </row>
    <row r="50" spans="1:7" x14ac:dyDescent="0.25">
      <c r="A50" s="6"/>
      <c r="B50" s="12" t="s">
        <v>78</v>
      </c>
      <c r="C50" s="12" t="s">
        <v>119</v>
      </c>
      <c r="D50" s="19" t="s">
        <v>66</v>
      </c>
      <c r="E50" s="19">
        <v>7</v>
      </c>
      <c r="F50" s="19">
        <v>10</v>
      </c>
      <c r="G50" s="11">
        <f t="shared" si="1"/>
        <v>70</v>
      </c>
    </row>
    <row r="51" spans="1:7" x14ac:dyDescent="0.25">
      <c r="A51" s="6"/>
      <c r="B51" s="12" t="s">
        <v>79</v>
      </c>
      <c r="C51" s="12" t="s">
        <v>119</v>
      </c>
      <c r="D51" s="19" t="s">
        <v>66</v>
      </c>
      <c r="E51" s="19">
        <v>16</v>
      </c>
      <c r="F51" s="19">
        <v>15</v>
      </c>
      <c r="G51" s="11">
        <f t="shared" si="1"/>
        <v>240</v>
      </c>
    </row>
    <row r="52" spans="1:7" x14ac:dyDescent="0.25">
      <c r="A52" s="8" t="s">
        <v>80</v>
      </c>
      <c r="B52" s="13" t="s">
        <v>81</v>
      </c>
      <c r="C52" s="13"/>
      <c r="D52" s="19"/>
      <c r="E52" s="19"/>
      <c r="F52" s="19"/>
      <c r="G52" s="11"/>
    </row>
    <row r="53" spans="1:7" x14ac:dyDescent="0.25">
      <c r="A53" s="6"/>
      <c r="B53" s="12" t="s">
        <v>82</v>
      </c>
      <c r="C53" s="12" t="s">
        <v>119</v>
      </c>
      <c r="D53" s="19" t="s">
        <v>66</v>
      </c>
      <c r="E53" s="19">
        <v>315</v>
      </c>
      <c r="F53" s="19">
        <v>10</v>
      </c>
      <c r="G53" s="11">
        <f t="shared" si="1"/>
        <v>3150</v>
      </c>
    </row>
    <row r="54" spans="1:7" x14ac:dyDescent="0.25">
      <c r="A54" s="6"/>
      <c r="B54" s="12" t="s">
        <v>122</v>
      </c>
      <c r="C54" s="12" t="s">
        <v>119</v>
      </c>
      <c r="D54" s="19" t="s">
        <v>66</v>
      </c>
      <c r="E54" s="19">
        <v>315</v>
      </c>
      <c r="F54" s="19">
        <v>15</v>
      </c>
      <c r="G54" s="11">
        <f t="shared" si="1"/>
        <v>4725</v>
      </c>
    </row>
    <row r="55" spans="1:7" x14ac:dyDescent="0.25">
      <c r="A55" s="6"/>
      <c r="B55" s="12" t="s">
        <v>83</v>
      </c>
      <c r="C55" s="12" t="s">
        <v>119</v>
      </c>
      <c r="D55" s="19" t="s">
        <v>66</v>
      </c>
      <c r="E55" s="19">
        <v>60</v>
      </c>
      <c r="F55" s="19">
        <v>15</v>
      </c>
      <c r="G55" s="11">
        <f t="shared" si="1"/>
        <v>900</v>
      </c>
    </row>
    <row r="56" spans="1:7" x14ac:dyDescent="0.25">
      <c r="A56" s="6"/>
      <c r="B56" s="12" t="s">
        <v>84</v>
      </c>
      <c r="C56" s="12" t="s">
        <v>119</v>
      </c>
      <c r="D56" s="19" t="s">
        <v>66</v>
      </c>
      <c r="E56" s="19">
        <v>315</v>
      </c>
      <c r="F56" s="19">
        <v>5</v>
      </c>
      <c r="G56" s="11">
        <f t="shared" si="1"/>
        <v>1575</v>
      </c>
    </row>
    <row r="57" spans="1:7" x14ac:dyDescent="0.25">
      <c r="A57" s="6"/>
      <c r="B57" s="12" t="s">
        <v>85</v>
      </c>
      <c r="C57" s="12" t="s">
        <v>119</v>
      </c>
      <c r="D57" s="19" t="s">
        <v>66</v>
      </c>
      <c r="E57" s="19">
        <v>29</v>
      </c>
      <c r="F57" s="19">
        <v>15</v>
      </c>
      <c r="G57" s="11">
        <f t="shared" si="1"/>
        <v>435</v>
      </c>
    </row>
    <row r="58" spans="1:7" x14ac:dyDescent="0.25">
      <c r="A58" s="8" t="s">
        <v>97</v>
      </c>
      <c r="B58" s="13" t="s">
        <v>86</v>
      </c>
      <c r="C58" s="13"/>
      <c r="D58" s="19"/>
      <c r="E58" s="19"/>
      <c r="F58" s="19"/>
      <c r="G58" s="11"/>
    </row>
    <row r="59" spans="1:7" x14ac:dyDescent="0.25">
      <c r="A59" s="6"/>
      <c r="B59" s="12" t="s">
        <v>102</v>
      </c>
      <c r="C59" s="12" t="s">
        <v>119</v>
      </c>
      <c r="D59" s="19" t="s">
        <v>66</v>
      </c>
      <c r="E59" s="19">
        <v>6</v>
      </c>
      <c r="F59" s="19">
        <v>30</v>
      </c>
      <c r="G59" s="11">
        <f t="shared" si="1"/>
        <v>180</v>
      </c>
    </row>
    <row r="60" spans="1:7" x14ac:dyDescent="0.25">
      <c r="A60" s="6"/>
      <c r="B60" s="7" t="s">
        <v>120</v>
      </c>
      <c r="C60" s="7" t="s">
        <v>119</v>
      </c>
      <c r="D60" s="20" t="s">
        <v>66</v>
      </c>
      <c r="E60" s="19">
        <v>200</v>
      </c>
      <c r="F60" s="19">
        <v>25</v>
      </c>
      <c r="G60" s="11">
        <f t="shared" si="1"/>
        <v>5000</v>
      </c>
    </row>
    <row r="61" spans="1:7" x14ac:dyDescent="0.25">
      <c r="A61" s="6"/>
      <c r="B61" t="s">
        <v>87</v>
      </c>
      <c r="C61" s="12" t="s">
        <v>119</v>
      </c>
      <c r="D61" s="19" t="s">
        <v>74</v>
      </c>
      <c r="E61" s="19">
        <v>500</v>
      </c>
      <c r="F61" s="19">
        <v>5</v>
      </c>
      <c r="G61" s="11">
        <f t="shared" si="1"/>
        <v>2500</v>
      </c>
    </row>
    <row r="62" spans="1:7" x14ac:dyDescent="0.25">
      <c r="A62" s="15">
        <v>5</v>
      </c>
      <c r="B62" s="10" t="s">
        <v>88</v>
      </c>
      <c r="C62" s="10"/>
      <c r="D62" s="17"/>
      <c r="E62" s="17"/>
      <c r="F62" s="17"/>
      <c r="G62" s="17"/>
    </row>
    <row r="63" spans="1:7" x14ac:dyDescent="0.25">
      <c r="B63" s="7" t="s">
        <v>89</v>
      </c>
      <c r="C63" s="12" t="s">
        <v>119</v>
      </c>
      <c r="D63" s="20" t="s">
        <v>90</v>
      </c>
      <c r="E63" s="30"/>
      <c r="F63" s="30"/>
      <c r="G63" s="11">
        <f t="shared" si="1"/>
        <v>0</v>
      </c>
    </row>
    <row r="64" spans="1:7" x14ac:dyDescent="0.25">
      <c r="B64" s="7" t="s">
        <v>91</v>
      </c>
      <c r="C64" s="12" t="s">
        <v>119</v>
      </c>
      <c r="D64" s="20" t="s">
        <v>90</v>
      </c>
      <c r="E64" s="30"/>
      <c r="F64" s="30"/>
      <c r="G64" s="11">
        <f t="shared" si="1"/>
        <v>0</v>
      </c>
    </row>
    <row r="65" spans="2:7" x14ac:dyDescent="0.25">
      <c r="B65" s="7" t="s">
        <v>92</v>
      </c>
      <c r="C65" s="12" t="s">
        <v>119</v>
      </c>
      <c r="D65" s="20" t="s">
        <v>90</v>
      </c>
      <c r="E65" s="30"/>
      <c r="F65" s="30"/>
      <c r="G65" s="11">
        <f t="shared" si="1"/>
        <v>0</v>
      </c>
    </row>
    <row r="66" spans="2:7" ht="15.75" thickBot="1" x14ac:dyDescent="0.3"/>
    <row r="67" spans="2:7" ht="15.75" thickBot="1" x14ac:dyDescent="0.3">
      <c r="F67" s="34" t="s">
        <v>103</v>
      </c>
      <c r="G67" s="35">
        <f>+SUM(G5:G65)</f>
        <v>260647</v>
      </c>
    </row>
    <row r="75" spans="2:7" x14ac:dyDescent="0.25">
      <c r="B75" t="s">
        <v>93</v>
      </c>
    </row>
  </sheetData>
  <mergeCells count="1">
    <mergeCell ref="A1:G2"/>
  </mergeCell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04EF-1CF1-4380-9558-48EF4AEBA6C0}">
  <sheetPr codeName="Feuil4"/>
  <dimension ref="A1:C13"/>
  <sheetViews>
    <sheetView workbookViewId="0">
      <selection activeCell="C14" sqref="C14"/>
    </sheetView>
  </sheetViews>
  <sheetFormatPr baseColWidth="10" defaultColWidth="11.42578125" defaultRowHeight="15" x14ac:dyDescent="0.25"/>
  <cols>
    <col min="3" max="3" width="95.28515625" bestFit="1" customWidth="1"/>
  </cols>
  <sheetData>
    <row r="1" spans="1:3" x14ac:dyDescent="0.25">
      <c r="A1" s="47" t="s">
        <v>94</v>
      </c>
      <c r="B1" s="48"/>
      <c r="C1" s="48"/>
    </row>
    <row r="2" spans="1:3" ht="63" customHeight="1" x14ac:dyDescent="0.25">
      <c r="A2" s="56"/>
      <c r="B2" s="57"/>
      <c r="C2" s="57"/>
    </row>
    <row r="3" spans="1:3" x14ac:dyDescent="0.25">
      <c r="A3" t="s">
        <v>104</v>
      </c>
      <c r="B3" t="s">
        <v>105</v>
      </c>
      <c r="C3" t="s">
        <v>117</v>
      </c>
    </row>
    <row r="4" spans="1:3" x14ac:dyDescent="0.25">
      <c r="B4" t="s">
        <v>107</v>
      </c>
      <c r="C4" t="s">
        <v>115</v>
      </c>
    </row>
    <row r="5" spans="1:3" x14ac:dyDescent="0.25">
      <c r="A5" t="s">
        <v>107</v>
      </c>
      <c r="C5" t="s">
        <v>114</v>
      </c>
    </row>
    <row r="6" spans="1:3" x14ac:dyDescent="0.25">
      <c r="B6" t="s">
        <v>107</v>
      </c>
      <c r="C6" t="s">
        <v>106</v>
      </c>
    </row>
    <row r="7" spans="1:3" x14ac:dyDescent="0.25">
      <c r="A7" t="s">
        <v>107</v>
      </c>
      <c r="C7" t="s">
        <v>110</v>
      </c>
    </row>
    <row r="8" spans="1:3" x14ac:dyDescent="0.25">
      <c r="B8" t="s">
        <v>107</v>
      </c>
      <c r="C8" t="s">
        <v>108</v>
      </c>
    </row>
    <row r="9" spans="1:3" x14ac:dyDescent="0.25">
      <c r="A9" t="s">
        <v>107</v>
      </c>
      <c r="C9" t="s">
        <v>109</v>
      </c>
    </row>
    <row r="10" spans="1:3" x14ac:dyDescent="0.25">
      <c r="B10" t="s">
        <v>107</v>
      </c>
      <c r="C10" t="s">
        <v>111</v>
      </c>
    </row>
    <row r="11" spans="1:3" x14ac:dyDescent="0.25">
      <c r="B11" t="s">
        <v>107</v>
      </c>
      <c r="C11" t="s">
        <v>112</v>
      </c>
    </row>
    <row r="12" spans="1:3" x14ac:dyDescent="0.25">
      <c r="A12" t="s">
        <v>107</v>
      </c>
      <c r="C12" t="s">
        <v>113</v>
      </c>
    </row>
    <row r="13" spans="1:3" x14ac:dyDescent="0.25">
      <c r="B13" t="s">
        <v>107</v>
      </c>
      <c r="C13" t="s">
        <v>116</v>
      </c>
    </row>
  </sheetData>
  <mergeCells count="1">
    <mergeCell ref="A1:C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3C2A02B56884CB26F446264C16EA8" ma:contentTypeVersion="4" ma:contentTypeDescription="Crée un document." ma:contentTypeScope="" ma:versionID="860fa8821a29d6ddd870f8020106d71f">
  <xsd:schema xmlns:xsd="http://www.w3.org/2001/XMLSchema" xmlns:xs="http://www.w3.org/2001/XMLSchema" xmlns:p="http://schemas.microsoft.com/office/2006/metadata/properties" xmlns:ns2="3e4483a9-ae7a-4a47-ad75-aaeaedf6c939" targetNamespace="http://schemas.microsoft.com/office/2006/metadata/properties" ma:root="true" ma:fieldsID="aeca10fa578a895543decf037feeb536" ns2:_="">
    <xsd:import namespace="3e4483a9-ae7a-4a47-ad75-aaeaedf6c9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483a9-ae7a-4a47-ad75-aaeaedf6c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735AE8-2F01-4A2B-B4AE-8B3A27D4E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483a9-ae7a-4a47-ad75-aaeaedf6c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11AB65-BC58-4183-B4A1-50DD33033A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B632C4-856D-426F-B918-E317E0B294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Présentation SST</vt:lpstr>
      <vt:lpstr>Bordereau de prix</vt:lpstr>
      <vt:lpstr>Limites d'entreprise</vt:lpstr>
    </vt:vector>
  </TitlesOfParts>
  <Manager/>
  <Company>configuratie_o365_beltherm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Imam RAFIK</dc:creator>
  <cp:keywords/>
  <dc:description/>
  <cp:lastModifiedBy>Imam Rafik</cp:lastModifiedBy>
  <cp:revision/>
  <dcterms:created xsi:type="dcterms:W3CDTF">2024-03-11T12:08:06Z</dcterms:created>
  <dcterms:modified xsi:type="dcterms:W3CDTF">2026-03-10T14:34:32Z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0x010100C723C2A02B56884CB26F446264C16EA8</vt:lpwstr>
  </property>
</Properties>
</file>